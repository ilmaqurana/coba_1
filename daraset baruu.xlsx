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sekripsii\"/>
    </mc:Choice>
  </mc:AlternateContent>
  <xr:revisionPtr revIDLastSave="245" documentId="8_{C41DA0EF-0751-4062-ADA2-1F9F123CDFB8}" xr6:coauthVersionLast="47" xr6:coauthVersionMax="47" xr10:uidLastSave="{8AB1A4BD-4873-4CF8-9BBE-75C140A94490}"/>
  <bookViews>
    <workbookView xWindow="-108" yWindow="-108" windowWidth="23256" windowHeight="12456" xr2:uid="{797AEED4-2859-4F05-BA3E-A26A023BD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1" l="1"/>
  <c r="G87" i="1"/>
  <c r="G84" i="1"/>
  <c r="G83" i="1"/>
  <c r="G78" i="1"/>
  <c r="G74" i="1"/>
  <c r="G71" i="1"/>
  <c r="G68" i="1"/>
  <c r="G62" i="1"/>
  <c r="G56" i="1"/>
  <c r="G51" i="1"/>
  <c r="G50" i="1"/>
  <c r="G47" i="1"/>
  <c r="G46" i="1"/>
  <c r="G44" i="1"/>
  <c r="G42" i="1" l="1"/>
  <c r="G37" i="1"/>
  <c r="G65" i="1" s="1"/>
  <c r="G30" i="1"/>
  <c r="G23" i="1"/>
  <c r="G20" i="1"/>
  <c r="G19" i="1"/>
  <c r="G16" i="1"/>
  <c r="G7" i="1"/>
  <c r="G6" i="1"/>
  <c r="G5" i="1"/>
  <c r="G4" i="1"/>
  <c r="G34" i="1" s="1"/>
</calcChain>
</file>

<file path=xl/sharedStrings.xml><?xml version="1.0" encoding="utf-8"?>
<sst xmlns="http://schemas.openxmlformats.org/spreadsheetml/2006/main" count="263" uniqueCount="102">
  <si>
    <t>dmmd</t>
  </si>
  <si>
    <t>f,m</t>
  </si>
  <si>
    <t>Tanggal</t>
  </si>
  <si>
    <t>No</t>
  </si>
  <si>
    <t>3 Januari 2025</t>
  </si>
  <si>
    <t>4 Januari 2025</t>
  </si>
  <si>
    <t>5 Januari 2025</t>
  </si>
  <si>
    <t>6 Januari 2025</t>
  </si>
  <si>
    <t>7 Januari 2025</t>
  </si>
  <si>
    <t>8 Januari 2025</t>
  </si>
  <si>
    <t>9 Januari 2025</t>
  </si>
  <si>
    <t>10 Januari 2025</t>
  </si>
  <si>
    <t>11 Januari 2025</t>
  </si>
  <si>
    <t>12 Januari 2025</t>
  </si>
  <si>
    <t>13 Januari 2025</t>
  </si>
  <si>
    <t>14 Januari 2025</t>
  </si>
  <si>
    <t>15 Januari 2025</t>
  </si>
  <si>
    <t>16 Januari 2025</t>
  </si>
  <si>
    <t>17 Januari 2025</t>
  </si>
  <si>
    <t>18 Januari 2025</t>
  </si>
  <si>
    <t>19 Januari 2025</t>
  </si>
  <si>
    <t>20 Januari 2025</t>
  </si>
  <si>
    <t>21 Januari 2025</t>
  </si>
  <si>
    <t>22 Januari 2025</t>
  </si>
  <si>
    <t>23 Januari 2025</t>
  </si>
  <si>
    <t>24 Januari 2025</t>
  </si>
  <si>
    <t>25 Januari 2025</t>
  </si>
  <si>
    <t>26 Januari 2025</t>
  </si>
  <si>
    <t>27 Januari 2025</t>
  </si>
  <si>
    <t>28 Januari 2025</t>
  </si>
  <si>
    <t>29 Januari 2025</t>
  </si>
  <si>
    <t>30 Januari 2025</t>
  </si>
  <si>
    <t>31 Januari 2025</t>
  </si>
  <si>
    <t>iya</t>
  </si>
  <si>
    <t>Tambahan kerja Lembur</t>
  </si>
  <si>
    <t>Uang_keluar</t>
  </si>
  <si>
    <t>Pendapatan</t>
  </si>
  <si>
    <t>total_pendapatan</t>
  </si>
  <si>
    <t>-</t>
  </si>
  <si>
    <t>tidak</t>
  </si>
  <si>
    <t xml:space="preserve">TOTAL </t>
  </si>
  <si>
    <t>NO</t>
  </si>
  <si>
    <t>1 Februari 2025</t>
  </si>
  <si>
    <t>2 Februari 2025</t>
  </si>
  <si>
    <t>3 Februari 2025</t>
  </si>
  <si>
    <t>4 Februari 2025</t>
  </si>
  <si>
    <t>5 Februari 2025</t>
  </si>
  <si>
    <t>6 Februari 2025</t>
  </si>
  <si>
    <t>7 Februari 2025</t>
  </si>
  <si>
    <t>8 Februari 2025</t>
  </si>
  <si>
    <t>9 Februari 2025</t>
  </si>
  <si>
    <t>10 Februari 2025</t>
  </si>
  <si>
    <t>11 Februari 2025</t>
  </si>
  <si>
    <t>12 Februari 2025</t>
  </si>
  <si>
    <t>13 Februari 2025</t>
  </si>
  <si>
    <t>14 Februari 2025</t>
  </si>
  <si>
    <t>15 Februari 2025</t>
  </si>
  <si>
    <t>16 Februari 2025</t>
  </si>
  <si>
    <t>17 Februari 2025</t>
  </si>
  <si>
    <t>18 Februari 2025</t>
  </si>
  <si>
    <t>19 Februari 2025</t>
  </si>
  <si>
    <t>20 Februari 2025</t>
  </si>
  <si>
    <t>21 Februari 2025</t>
  </si>
  <si>
    <t>22 Februari 2025</t>
  </si>
  <si>
    <t>2 Januari 2025</t>
  </si>
  <si>
    <t>23 Februari 2025</t>
  </si>
  <si>
    <t>24 Februari 2025</t>
  </si>
  <si>
    <t>25 Februari 2025</t>
  </si>
  <si>
    <t>26 Februari 2025</t>
  </si>
  <si>
    <t>27 Februari 2025</t>
  </si>
  <si>
    <t>28 Februari 2025</t>
  </si>
  <si>
    <t>TOTAL</t>
  </si>
  <si>
    <t>1 Maret 2025</t>
  </si>
  <si>
    <t>2 Maret 2025</t>
  </si>
  <si>
    <t>3 Maret 2025</t>
  </si>
  <si>
    <t>4 Maret 2025</t>
  </si>
  <si>
    <t>5 Maret 2025</t>
  </si>
  <si>
    <t>6 Maret 2025</t>
  </si>
  <si>
    <t>7 Maret 2025</t>
  </si>
  <si>
    <t>8 Maret 2025</t>
  </si>
  <si>
    <t>9 Maret 2025</t>
  </si>
  <si>
    <t>10 Maret 2025</t>
  </si>
  <si>
    <t>11 Maret 2025</t>
  </si>
  <si>
    <t>12 Maret 2025</t>
  </si>
  <si>
    <t>13 Maret 2025</t>
  </si>
  <si>
    <t>14 Maret 2025</t>
  </si>
  <si>
    <t>15 Maret 2025</t>
  </si>
  <si>
    <t>16 Maret 2025</t>
  </si>
  <si>
    <t>17 Maret 2025</t>
  </si>
  <si>
    <t>18 Maret 2025</t>
  </si>
  <si>
    <t>19 Maret 2025</t>
  </si>
  <si>
    <t>20 Maret 2025</t>
  </si>
  <si>
    <t>21 Maret 2025</t>
  </si>
  <si>
    <t>22 Maret 2025</t>
  </si>
  <si>
    <t>23 Maret 2025</t>
  </si>
  <si>
    <t>24 Maret 2025</t>
  </si>
  <si>
    <t>25 Maret 2025</t>
  </si>
  <si>
    <t>26 Maret 2025</t>
  </si>
  <si>
    <t>27 Maret 2025</t>
  </si>
  <si>
    <t>28 Maret 2025</t>
  </si>
  <si>
    <t>29 Maret 2025</t>
  </si>
  <si>
    <t>30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</si>
</sst>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C61C-5A1E-4230-8EFD-B2470BB5362F}">
  <sheetPr>
    <tabColor theme="1"/>
  </sheetPr>
  <dimension ref="A1:G98"/>
  <sheetViews>
    <sheetView tabSelected="1" topLeftCell="B54" zoomScale="46" zoomScaleNormal="46" workbookViewId="0">
      <selection activeCell="H65" sqref="H65"/>
    </sheetView>
  </sheetViews>
  <sheetFormatPr defaultRowHeight="14.4" x14ac:dyDescent="0.3"/>
  <cols>
    <col min="1" max="1" width="0" hidden="1" customWidth="1"/>
    <col min="2" max="2" width="9.109375" style="3"/>
    <col min="3" max="3" width="19.33203125" style="4" customWidth="1"/>
    <col min="4" max="4" width="23.88671875" style="3" customWidth="1"/>
    <col min="5" max="5" width="24.88671875" style="3" customWidth="1"/>
    <col min="6" max="6" width="14.44140625" style="3" customWidth="1"/>
    <col min="7" max="7" width="20.5546875" style="3" customWidth="1"/>
  </cols>
  <sheetData>
    <row r="1" spans="1:7" hidden="1" x14ac:dyDescent="0.3">
      <c r="A1" s="1" t="s">
        <v>0</v>
      </c>
    </row>
    <row r="2" spans="1:7" ht="15.6" hidden="1" x14ac:dyDescent="0.3">
      <c r="A2" s="2" t="s">
        <v>1</v>
      </c>
    </row>
    <row r="3" spans="1:7" x14ac:dyDescent="0.3">
      <c r="B3" s="9" t="s">
        <v>3</v>
      </c>
      <c r="C3" s="10" t="s">
        <v>2</v>
      </c>
      <c r="D3" s="9" t="s">
        <v>36</v>
      </c>
      <c r="E3" s="9" t="s">
        <v>34</v>
      </c>
      <c r="F3" s="9" t="s">
        <v>35</v>
      </c>
      <c r="G3" s="9" t="s">
        <v>37</v>
      </c>
    </row>
    <row r="4" spans="1:7" x14ac:dyDescent="0.3">
      <c r="B4" s="5">
        <v>1</v>
      </c>
      <c r="C4" s="6" t="s">
        <v>64</v>
      </c>
      <c r="D4" s="7">
        <v>1970000</v>
      </c>
      <c r="E4" s="5" t="s">
        <v>33</v>
      </c>
      <c r="F4" s="7">
        <v>35000</v>
      </c>
      <c r="G4" s="7">
        <f>D4-F4</f>
        <v>1935000</v>
      </c>
    </row>
    <row r="5" spans="1:7" x14ac:dyDescent="0.3">
      <c r="B5" s="5">
        <v>2</v>
      </c>
      <c r="C5" s="6" t="s">
        <v>4</v>
      </c>
      <c r="D5" s="7">
        <v>1440000</v>
      </c>
      <c r="E5" s="5" t="s">
        <v>33</v>
      </c>
      <c r="F5" s="7">
        <v>5000</v>
      </c>
      <c r="G5" s="7">
        <f>D5-F5</f>
        <v>1435000</v>
      </c>
    </row>
    <row r="6" spans="1:7" x14ac:dyDescent="0.3">
      <c r="B6" s="5">
        <v>3</v>
      </c>
      <c r="C6" s="6" t="s">
        <v>5</v>
      </c>
      <c r="D6" s="7">
        <v>1690000</v>
      </c>
      <c r="E6" s="5" t="s">
        <v>33</v>
      </c>
      <c r="F6" s="7">
        <v>98000</v>
      </c>
      <c r="G6" s="7">
        <f>D6-F6</f>
        <v>1592000</v>
      </c>
    </row>
    <row r="7" spans="1:7" x14ac:dyDescent="0.3">
      <c r="B7" s="5">
        <v>4</v>
      </c>
      <c r="C7" s="6" t="s">
        <v>6</v>
      </c>
      <c r="D7" s="7">
        <v>1060000</v>
      </c>
      <c r="E7" s="5" t="s">
        <v>33</v>
      </c>
      <c r="F7" s="7">
        <v>70000</v>
      </c>
      <c r="G7" s="7">
        <f>D7-F7</f>
        <v>990000</v>
      </c>
    </row>
    <row r="8" spans="1:7" x14ac:dyDescent="0.3">
      <c r="B8" s="5">
        <v>5</v>
      </c>
      <c r="C8" s="6" t="s">
        <v>7</v>
      </c>
      <c r="D8" s="7">
        <v>890000</v>
      </c>
      <c r="E8" s="5" t="s">
        <v>33</v>
      </c>
      <c r="F8" s="5" t="s">
        <v>38</v>
      </c>
      <c r="G8" s="7">
        <v>890000</v>
      </c>
    </row>
    <row r="9" spans="1:7" x14ac:dyDescent="0.3">
      <c r="B9" s="5">
        <v>6</v>
      </c>
      <c r="C9" s="6" t="s">
        <v>8</v>
      </c>
      <c r="D9" s="7">
        <v>720000</v>
      </c>
      <c r="E9" s="5" t="s">
        <v>39</v>
      </c>
      <c r="F9" s="5" t="s">
        <v>38</v>
      </c>
      <c r="G9" s="7">
        <v>720000</v>
      </c>
    </row>
    <row r="10" spans="1:7" x14ac:dyDescent="0.3">
      <c r="B10" s="5">
        <v>7</v>
      </c>
      <c r="C10" s="6" t="s">
        <v>9</v>
      </c>
      <c r="D10" s="7">
        <v>890000</v>
      </c>
      <c r="E10" s="5" t="s">
        <v>33</v>
      </c>
      <c r="F10" s="5" t="s">
        <v>38</v>
      </c>
      <c r="G10" s="7">
        <v>890000</v>
      </c>
    </row>
    <row r="11" spans="1:7" x14ac:dyDescent="0.3">
      <c r="B11" s="5">
        <v>8</v>
      </c>
      <c r="C11" s="6" t="s">
        <v>10</v>
      </c>
      <c r="D11" s="7">
        <v>870000</v>
      </c>
      <c r="E11" s="5" t="s">
        <v>33</v>
      </c>
      <c r="F11" s="5" t="s">
        <v>38</v>
      </c>
      <c r="G11" s="7">
        <v>870000</v>
      </c>
    </row>
    <row r="12" spans="1:7" x14ac:dyDescent="0.3">
      <c r="B12" s="5">
        <v>9</v>
      </c>
      <c r="C12" s="6" t="s">
        <v>11</v>
      </c>
      <c r="D12" s="7">
        <v>930000</v>
      </c>
      <c r="E12" s="5" t="s">
        <v>33</v>
      </c>
      <c r="F12" s="5" t="s">
        <v>38</v>
      </c>
      <c r="G12" s="7">
        <v>930000</v>
      </c>
    </row>
    <row r="13" spans="1:7" x14ac:dyDescent="0.3">
      <c r="B13" s="5">
        <v>10</v>
      </c>
      <c r="C13" s="6" t="s">
        <v>12</v>
      </c>
      <c r="D13" s="7">
        <v>420000</v>
      </c>
      <c r="E13" s="5" t="s">
        <v>39</v>
      </c>
      <c r="F13" s="5" t="s">
        <v>38</v>
      </c>
      <c r="G13" s="7">
        <v>420000</v>
      </c>
    </row>
    <row r="14" spans="1:7" x14ac:dyDescent="0.3">
      <c r="B14" s="5">
        <v>11</v>
      </c>
      <c r="C14" s="6" t="s">
        <v>13</v>
      </c>
      <c r="D14" s="7">
        <v>1150000</v>
      </c>
      <c r="E14" s="5" t="s">
        <v>33</v>
      </c>
      <c r="F14" s="5" t="s">
        <v>38</v>
      </c>
      <c r="G14" s="7">
        <v>1150000</v>
      </c>
    </row>
    <row r="15" spans="1:7" x14ac:dyDescent="0.3">
      <c r="B15" s="5">
        <v>12</v>
      </c>
      <c r="C15" s="6" t="s">
        <v>14</v>
      </c>
      <c r="D15" s="7">
        <v>720000</v>
      </c>
      <c r="E15" s="5" t="s">
        <v>33</v>
      </c>
      <c r="F15" s="5" t="s">
        <v>38</v>
      </c>
      <c r="G15" s="7">
        <v>720000</v>
      </c>
    </row>
    <row r="16" spans="1:7" x14ac:dyDescent="0.3">
      <c r="B16" s="5">
        <v>13</v>
      </c>
      <c r="C16" s="6" t="s">
        <v>15</v>
      </c>
      <c r="D16" s="7">
        <v>570000</v>
      </c>
      <c r="E16" s="5" t="s">
        <v>39</v>
      </c>
      <c r="F16" s="7">
        <v>150000</v>
      </c>
      <c r="G16" s="7">
        <f>D16-F16</f>
        <v>420000</v>
      </c>
    </row>
    <row r="17" spans="2:7" x14ac:dyDescent="0.3">
      <c r="B17" s="5">
        <v>14</v>
      </c>
      <c r="C17" s="6" t="s">
        <v>16</v>
      </c>
      <c r="D17" s="7">
        <v>1140000</v>
      </c>
      <c r="E17" s="5" t="s">
        <v>39</v>
      </c>
      <c r="F17" s="5" t="s">
        <v>38</v>
      </c>
      <c r="G17" s="7">
        <v>1140000</v>
      </c>
    </row>
    <row r="18" spans="2:7" x14ac:dyDescent="0.3">
      <c r="B18" s="5">
        <v>15</v>
      </c>
      <c r="C18" s="6" t="s">
        <v>17</v>
      </c>
      <c r="D18" s="7">
        <v>700000</v>
      </c>
      <c r="E18" s="5" t="s">
        <v>39</v>
      </c>
      <c r="F18" s="5" t="s">
        <v>38</v>
      </c>
      <c r="G18" s="7">
        <v>700000</v>
      </c>
    </row>
    <row r="19" spans="2:7" x14ac:dyDescent="0.3">
      <c r="B19" s="5">
        <v>16</v>
      </c>
      <c r="C19" s="6" t="s">
        <v>18</v>
      </c>
      <c r="D19" s="7">
        <v>680000</v>
      </c>
      <c r="E19" s="5" t="s">
        <v>39</v>
      </c>
      <c r="F19" s="7">
        <v>121000</v>
      </c>
      <c r="G19" s="7">
        <f>D19-F19</f>
        <v>559000</v>
      </c>
    </row>
    <row r="20" spans="2:7" x14ac:dyDescent="0.3">
      <c r="B20" s="5">
        <v>17</v>
      </c>
      <c r="C20" s="6" t="s">
        <v>19</v>
      </c>
      <c r="D20" s="7">
        <v>1050000</v>
      </c>
      <c r="E20" s="5" t="s">
        <v>39</v>
      </c>
      <c r="F20" s="7">
        <v>37000</v>
      </c>
      <c r="G20" s="7">
        <f>D20-F20</f>
        <v>1013000</v>
      </c>
    </row>
    <row r="21" spans="2:7" x14ac:dyDescent="0.3">
      <c r="B21" s="5">
        <v>18</v>
      </c>
      <c r="C21" s="6" t="s">
        <v>20</v>
      </c>
      <c r="D21" s="7">
        <v>570000</v>
      </c>
      <c r="E21" s="5" t="s">
        <v>39</v>
      </c>
      <c r="F21" s="5" t="s">
        <v>38</v>
      </c>
      <c r="G21" s="7">
        <v>570000</v>
      </c>
    </row>
    <row r="22" spans="2:7" x14ac:dyDescent="0.3">
      <c r="B22" s="5">
        <v>19</v>
      </c>
      <c r="C22" s="6" t="s">
        <v>21</v>
      </c>
      <c r="D22" s="7">
        <v>500000</v>
      </c>
      <c r="E22" s="5" t="s">
        <v>39</v>
      </c>
      <c r="F22" s="8" t="s">
        <v>38</v>
      </c>
      <c r="G22" s="7">
        <v>500000</v>
      </c>
    </row>
    <row r="23" spans="2:7" x14ac:dyDescent="0.3">
      <c r="B23" s="5">
        <v>20</v>
      </c>
      <c r="C23" s="6" t="s">
        <v>22</v>
      </c>
      <c r="D23" s="7">
        <v>720000</v>
      </c>
      <c r="E23" s="5" t="s">
        <v>39</v>
      </c>
      <c r="F23" s="7">
        <v>60000</v>
      </c>
      <c r="G23" s="7">
        <f>D23-F23</f>
        <v>660000</v>
      </c>
    </row>
    <row r="24" spans="2:7" x14ac:dyDescent="0.3">
      <c r="B24" s="5">
        <v>21</v>
      </c>
      <c r="C24" s="6" t="s">
        <v>23</v>
      </c>
      <c r="D24" s="7">
        <v>600000</v>
      </c>
      <c r="E24" s="5" t="s">
        <v>39</v>
      </c>
      <c r="F24" s="5" t="s">
        <v>38</v>
      </c>
      <c r="G24" s="7">
        <v>600000</v>
      </c>
    </row>
    <row r="25" spans="2:7" x14ac:dyDescent="0.3">
      <c r="B25" s="5">
        <v>22</v>
      </c>
      <c r="C25" s="6" t="s">
        <v>24</v>
      </c>
      <c r="D25" s="7">
        <v>750000</v>
      </c>
      <c r="E25" s="5" t="s">
        <v>33</v>
      </c>
      <c r="F25" s="5" t="s">
        <v>38</v>
      </c>
      <c r="G25" s="7">
        <v>750000</v>
      </c>
    </row>
    <row r="26" spans="2:7" x14ac:dyDescent="0.3">
      <c r="B26" s="5">
        <v>23</v>
      </c>
      <c r="C26" s="6" t="s">
        <v>25</v>
      </c>
      <c r="D26" s="7">
        <v>1000000</v>
      </c>
      <c r="E26" s="5" t="s">
        <v>39</v>
      </c>
      <c r="F26" s="5" t="s">
        <v>38</v>
      </c>
      <c r="G26" s="7">
        <v>1000000</v>
      </c>
    </row>
    <row r="27" spans="2:7" x14ac:dyDescent="0.3">
      <c r="B27" s="5">
        <v>24</v>
      </c>
      <c r="C27" s="6" t="s">
        <v>26</v>
      </c>
      <c r="D27" s="7">
        <v>1140000</v>
      </c>
      <c r="E27" s="5" t="s">
        <v>33</v>
      </c>
      <c r="F27" s="5" t="s">
        <v>38</v>
      </c>
      <c r="G27" s="7">
        <v>1140000</v>
      </c>
    </row>
    <row r="28" spans="2:7" x14ac:dyDescent="0.3">
      <c r="B28" s="5">
        <v>25</v>
      </c>
      <c r="C28" s="6" t="s">
        <v>27</v>
      </c>
      <c r="D28" s="5" t="s">
        <v>38</v>
      </c>
      <c r="E28" s="5" t="s">
        <v>38</v>
      </c>
      <c r="F28" s="5" t="s">
        <v>38</v>
      </c>
      <c r="G28" s="5" t="s">
        <v>38</v>
      </c>
    </row>
    <row r="29" spans="2:7" x14ac:dyDescent="0.3">
      <c r="B29" s="5">
        <v>26</v>
      </c>
      <c r="C29" s="6" t="s">
        <v>28</v>
      </c>
      <c r="D29" s="7">
        <v>700000</v>
      </c>
      <c r="E29" s="5" t="s">
        <v>39</v>
      </c>
      <c r="F29" s="5" t="s">
        <v>38</v>
      </c>
      <c r="G29" s="7">
        <v>700000</v>
      </c>
    </row>
    <row r="30" spans="2:7" x14ac:dyDescent="0.3">
      <c r="B30" s="5">
        <v>27</v>
      </c>
      <c r="C30" s="6" t="s">
        <v>29</v>
      </c>
      <c r="D30" s="7">
        <v>900000</v>
      </c>
      <c r="E30" s="5" t="s">
        <v>33</v>
      </c>
      <c r="F30" s="7">
        <v>50000</v>
      </c>
      <c r="G30" s="7">
        <f>D30-F30</f>
        <v>850000</v>
      </c>
    </row>
    <row r="31" spans="2:7" x14ac:dyDescent="0.3">
      <c r="B31" s="5">
        <v>28</v>
      </c>
      <c r="C31" s="6" t="s">
        <v>30</v>
      </c>
      <c r="D31" s="7">
        <v>730000</v>
      </c>
      <c r="E31" s="5" t="s">
        <v>39</v>
      </c>
      <c r="F31" s="5" t="s">
        <v>38</v>
      </c>
      <c r="G31" s="7">
        <v>730000</v>
      </c>
    </row>
    <row r="32" spans="2:7" x14ac:dyDescent="0.3">
      <c r="B32" s="5">
        <v>29</v>
      </c>
      <c r="C32" s="6" t="s">
        <v>31</v>
      </c>
      <c r="D32" s="7">
        <v>440000</v>
      </c>
      <c r="E32" s="5" t="s">
        <v>39</v>
      </c>
      <c r="F32" s="5" t="s">
        <v>38</v>
      </c>
      <c r="G32" s="7">
        <v>440000</v>
      </c>
    </row>
    <row r="33" spans="2:7" x14ac:dyDescent="0.3">
      <c r="B33" s="5">
        <v>30</v>
      </c>
      <c r="C33" s="6" t="s">
        <v>32</v>
      </c>
      <c r="D33" s="7">
        <v>970000</v>
      </c>
      <c r="E33" s="5" t="s">
        <v>33</v>
      </c>
      <c r="F33" s="5" t="s">
        <v>38</v>
      </c>
      <c r="G33" s="7">
        <v>970000</v>
      </c>
    </row>
    <row r="34" spans="2:7" x14ac:dyDescent="0.3">
      <c r="E34" s="14" t="s">
        <v>40</v>
      </c>
      <c r="F34" s="14"/>
      <c r="G34" s="11">
        <f>SUM(G4:G33)</f>
        <v>25284000</v>
      </c>
    </row>
    <row r="36" spans="2:7" x14ac:dyDescent="0.3">
      <c r="B36" s="9" t="s">
        <v>41</v>
      </c>
      <c r="C36" s="10" t="s">
        <v>2</v>
      </c>
      <c r="D36" s="9" t="s">
        <v>36</v>
      </c>
      <c r="E36" s="9" t="s">
        <v>34</v>
      </c>
      <c r="F36" s="9" t="s">
        <v>35</v>
      </c>
      <c r="G36" s="9" t="s">
        <v>37</v>
      </c>
    </row>
    <row r="37" spans="2:7" x14ac:dyDescent="0.3">
      <c r="B37" s="5">
        <v>1</v>
      </c>
      <c r="C37" s="6" t="s">
        <v>42</v>
      </c>
      <c r="D37" s="7">
        <v>800000</v>
      </c>
      <c r="E37" s="5" t="s">
        <v>39</v>
      </c>
      <c r="F37" s="7">
        <v>25000</v>
      </c>
      <c r="G37" s="7">
        <f>D37-F37</f>
        <v>775000</v>
      </c>
    </row>
    <row r="38" spans="2:7" x14ac:dyDescent="0.3">
      <c r="B38" s="5">
        <v>2</v>
      </c>
      <c r="C38" s="6" t="s">
        <v>43</v>
      </c>
      <c r="D38" s="7">
        <v>1300000</v>
      </c>
      <c r="E38" s="5" t="s">
        <v>33</v>
      </c>
      <c r="F38" s="5" t="s">
        <v>38</v>
      </c>
      <c r="G38" s="7">
        <v>1300000</v>
      </c>
    </row>
    <row r="39" spans="2:7" x14ac:dyDescent="0.3">
      <c r="B39" s="5">
        <v>3</v>
      </c>
      <c r="C39" s="6" t="s">
        <v>44</v>
      </c>
      <c r="D39" s="7">
        <v>560000</v>
      </c>
      <c r="E39" s="5" t="s">
        <v>33</v>
      </c>
      <c r="F39" s="5" t="s">
        <v>38</v>
      </c>
      <c r="G39" s="7">
        <v>560000</v>
      </c>
    </row>
    <row r="40" spans="2:7" x14ac:dyDescent="0.3">
      <c r="B40" s="5">
        <v>4</v>
      </c>
      <c r="C40" s="6" t="s">
        <v>45</v>
      </c>
      <c r="D40" s="7">
        <v>890000</v>
      </c>
      <c r="E40" s="5" t="s">
        <v>33</v>
      </c>
      <c r="F40" s="5" t="s">
        <v>38</v>
      </c>
      <c r="G40" s="7">
        <v>890000</v>
      </c>
    </row>
    <row r="41" spans="2:7" x14ac:dyDescent="0.3">
      <c r="B41" s="5">
        <v>5</v>
      </c>
      <c r="C41" s="6" t="s">
        <v>46</v>
      </c>
      <c r="D41" s="7">
        <v>750000</v>
      </c>
      <c r="E41" s="5" t="s">
        <v>33</v>
      </c>
      <c r="F41" s="5" t="s">
        <v>38</v>
      </c>
      <c r="G41" s="7">
        <v>750000</v>
      </c>
    </row>
    <row r="42" spans="2:7" x14ac:dyDescent="0.3">
      <c r="B42" s="5">
        <v>6</v>
      </c>
      <c r="C42" s="6" t="s">
        <v>47</v>
      </c>
      <c r="D42" s="7">
        <v>720000</v>
      </c>
      <c r="E42" s="5" t="s">
        <v>33</v>
      </c>
      <c r="F42" s="7">
        <v>430000</v>
      </c>
      <c r="G42" s="7">
        <f>D42-F42</f>
        <v>290000</v>
      </c>
    </row>
    <row r="43" spans="2:7" x14ac:dyDescent="0.3">
      <c r="B43" s="5">
        <v>7</v>
      </c>
      <c r="C43" s="6" t="s">
        <v>48</v>
      </c>
      <c r="D43" s="7">
        <v>1090000</v>
      </c>
      <c r="E43" s="5" t="s">
        <v>39</v>
      </c>
      <c r="F43" s="5" t="s">
        <v>38</v>
      </c>
      <c r="G43" s="7">
        <v>1090000</v>
      </c>
    </row>
    <row r="44" spans="2:7" x14ac:dyDescent="0.3">
      <c r="B44" s="5">
        <v>8</v>
      </c>
      <c r="C44" s="6" t="s">
        <v>49</v>
      </c>
      <c r="D44" s="7">
        <v>930000</v>
      </c>
      <c r="E44" s="5" t="s">
        <v>39</v>
      </c>
      <c r="F44" s="7">
        <v>50000</v>
      </c>
      <c r="G44" s="7">
        <f>D44-F44</f>
        <v>880000</v>
      </c>
    </row>
    <row r="45" spans="2:7" x14ac:dyDescent="0.3">
      <c r="B45" s="5">
        <v>9</v>
      </c>
      <c r="C45" s="6" t="s">
        <v>50</v>
      </c>
      <c r="D45" s="7">
        <v>975000</v>
      </c>
      <c r="E45" s="5" t="s">
        <v>33</v>
      </c>
      <c r="F45" s="5" t="s">
        <v>38</v>
      </c>
      <c r="G45" s="7">
        <v>975000</v>
      </c>
    </row>
    <row r="46" spans="2:7" x14ac:dyDescent="0.3">
      <c r="B46" s="5">
        <v>10</v>
      </c>
      <c r="C46" s="6" t="s">
        <v>51</v>
      </c>
      <c r="D46" s="7">
        <v>660000</v>
      </c>
      <c r="E46" s="5" t="s">
        <v>33</v>
      </c>
      <c r="F46" s="7">
        <v>5000</v>
      </c>
      <c r="G46" s="7">
        <f>D46-F46</f>
        <v>655000</v>
      </c>
    </row>
    <row r="47" spans="2:7" x14ac:dyDescent="0.3">
      <c r="B47" s="5">
        <v>11</v>
      </c>
      <c r="C47" s="6" t="s">
        <v>52</v>
      </c>
      <c r="D47" s="7">
        <v>730000</v>
      </c>
      <c r="E47" s="5" t="s">
        <v>39</v>
      </c>
      <c r="F47" s="7">
        <v>600000</v>
      </c>
      <c r="G47" s="7">
        <f>D47-F47</f>
        <v>130000</v>
      </c>
    </row>
    <row r="48" spans="2:7" x14ac:dyDescent="0.3">
      <c r="B48" s="5">
        <v>12</v>
      </c>
      <c r="C48" s="6" t="s">
        <v>53</v>
      </c>
      <c r="D48" s="7">
        <v>180000</v>
      </c>
      <c r="E48" s="5" t="s">
        <v>39</v>
      </c>
      <c r="F48" s="5" t="s">
        <v>38</v>
      </c>
      <c r="G48" s="7">
        <v>180000</v>
      </c>
    </row>
    <row r="49" spans="2:7" x14ac:dyDescent="0.3">
      <c r="B49" s="5">
        <v>13</v>
      </c>
      <c r="C49" s="6" t="s">
        <v>54</v>
      </c>
      <c r="D49" s="7">
        <v>940000</v>
      </c>
      <c r="E49" s="5" t="s">
        <v>39</v>
      </c>
      <c r="F49" s="5" t="s">
        <v>38</v>
      </c>
      <c r="G49" s="7">
        <v>940000</v>
      </c>
    </row>
    <row r="50" spans="2:7" x14ac:dyDescent="0.3">
      <c r="B50" s="5">
        <v>14</v>
      </c>
      <c r="C50" s="6" t="s">
        <v>55</v>
      </c>
      <c r="D50" s="7">
        <v>480000</v>
      </c>
      <c r="E50" s="5" t="s">
        <v>39</v>
      </c>
      <c r="F50" s="7">
        <v>350000</v>
      </c>
      <c r="G50" s="7">
        <f>D50-F50</f>
        <v>130000</v>
      </c>
    </row>
    <row r="51" spans="2:7" x14ac:dyDescent="0.3">
      <c r="B51" s="5">
        <v>15</v>
      </c>
      <c r="C51" s="6" t="s">
        <v>56</v>
      </c>
      <c r="D51" s="7">
        <v>850000</v>
      </c>
      <c r="E51" s="5" t="s">
        <v>39</v>
      </c>
      <c r="F51" s="7">
        <v>50000</v>
      </c>
      <c r="G51" s="7">
        <f>D51-F51</f>
        <v>800000</v>
      </c>
    </row>
    <row r="52" spans="2:7" x14ac:dyDescent="0.3">
      <c r="B52" s="5">
        <v>16</v>
      </c>
      <c r="C52" s="6" t="s">
        <v>57</v>
      </c>
      <c r="D52" s="7">
        <v>880000</v>
      </c>
      <c r="E52" s="5" t="s">
        <v>33</v>
      </c>
      <c r="F52" s="5" t="s">
        <v>38</v>
      </c>
      <c r="G52" s="7">
        <v>880000</v>
      </c>
    </row>
    <row r="53" spans="2:7" x14ac:dyDescent="0.3">
      <c r="B53" s="5">
        <v>17</v>
      </c>
      <c r="C53" s="6" t="s">
        <v>58</v>
      </c>
      <c r="D53" s="7">
        <v>360000</v>
      </c>
      <c r="E53" s="5" t="s">
        <v>39</v>
      </c>
      <c r="F53" s="5" t="s">
        <v>38</v>
      </c>
      <c r="G53" s="7">
        <v>360000</v>
      </c>
    </row>
    <row r="54" spans="2:7" x14ac:dyDescent="0.3">
      <c r="B54" s="5">
        <v>18</v>
      </c>
      <c r="C54" s="6" t="s">
        <v>59</v>
      </c>
      <c r="D54" s="7">
        <v>330000</v>
      </c>
      <c r="E54" s="5" t="s">
        <v>39</v>
      </c>
      <c r="F54" s="5" t="s">
        <v>38</v>
      </c>
      <c r="G54" s="7">
        <v>330000</v>
      </c>
    </row>
    <row r="55" spans="2:7" x14ac:dyDescent="0.3">
      <c r="B55" s="5">
        <v>19</v>
      </c>
      <c r="C55" s="6" t="s">
        <v>60</v>
      </c>
      <c r="D55" s="7">
        <v>600000</v>
      </c>
      <c r="E55" s="5" t="s">
        <v>33</v>
      </c>
      <c r="F55" s="5" t="s">
        <v>38</v>
      </c>
      <c r="G55" s="7">
        <v>600000</v>
      </c>
    </row>
    <row r="56" spans="2:7" x14ac:dyDescent="0.3">
      <c r="B56" s="5">
        <v>20</v>
      </c>
      <c r="C56" s="6" t="s">
        <v>61</v>
      </c>
      <c r="D56" s="7">
        <v>360000</v>
      </c>
      <c r="E56" s="5" t="s">
        <v>33</v>
      </c>
      <c r="F56" s="7">
        <v>124000</v>
      </c>
      <c r="G56" s="7">
        <f>D56-F56</f>
        <v>236000</v>
      </c>
    </row>
    <row r="57" spans="2:7" x14ac:dyDescent="0.3">
      <c r="B57" s="5">
        <v>21</v>
      </c>
      <c r="C57" s="6" t="s">
        <v>62</v>
      </c>
      <c r="D57" s="7">
        <v>760000</v>
      </c>
      <c r="E57" s="5" t="s">
        <v>39</v>
      </c>
      <c r="F57" s="5" t="s">
        <v>38</v>
      </c>
      <c r="G57" s="7">
        <v>760000</v>
      </c>
    </row>
    <row r="58" spans="2:7" x14ac:dyDescent="0.3">
      <c r="B58" s="5">
        <v>22</v>
      </c>
      <c r="C58" s="6" t="s">
        <v>63</v>
      </c>
      <c r="D58" s="7">
        <v>750000</v>
      </c>
      <c r="E58" s="5" t="s">
        <v>33</v>
      </c>
      <c r="F58" s="5" t="s">
        <v>38</v>
      </c>
      <c r="G58" s="7">
        <v>750000</v>
      </c>
    </row>
    <row r="59" spans="2:7" x14ac:dyDescent="0.3">
      <c r="B59" s="5">
        <v>23</v>
      </c>
      <c r="C59" s="6" t="s">
        <v>65</v>
      </c>
      <c r="D59" s="7">
        <v>890000</v>
      </c>
      <c r="E59" s="5" t="s">
        <v>33</v>
      </c>
      <c r="F59" s="5" t="s">
        <v>38</v>
      </c>
      <c r="G59" s="7">
        <v>890000</v>
      </c>
    </row>
    <row r="60" spans="2:7" x14ac:dyDescent="0.3">
      <c r="B60" s="5">
        <v>24</v>
      </c>
      <c r="C60" s="6" t="s">
        <v>66</v>
      </c>
      <c r="D60" s="7">
        <v>570000</v>
      </c>
      <c r="E60" s="5" t="s">
        <v>39</v>
      </c>
      <c r="F60" s="5" t="s">
        <v>38</v>
      </c>
      <c r="G60" s="7">
        <v>570000</v>
      </c>
    </row>
    <row r="61" spans="2:7" x14ac:dyDescent="0.3">
      <c r="B61" s="5">
        <v>25</v>
      </c>
      <c r="C61" s="6" t="s">
        <v>67</v>
      </c>
      <c r="D61" s="7">
        <v>570000</v>
      </c>
      <c r="E61" s="5" t="s">
        <v>33</v>
      </c>
      <c r="F61" s="5" t="s">
        <v>38</v>
      </c>
      <c r="G61" s="7">
        <v>570000</v>
      </c>
    </row>
    <row r="62" spans="2:7" x14ac:dyDescent="0.3">
      <c r="B62" s="5">
        <v>26</v>
      </c>
      <c r="C62" s="6" t="s">
        <v>68</v>
      </c>
      <c r="D62" s="7">
        <v>430000</v>
      </c>
      <c r="E62" s="5" t="s">
        <v>39</v>
      </c>
      <c r="F62" s="7">
        <v>15000</v>
      </c>
      <c r="G62" s="7">
        <f>D62-F62</f>
        <v>415000</v>
      </c>
    </row>
    <row r="63" spans="2:7" x14ac:dyDescent="0.3">
      <c r="B63" s="5">
        <v>27</v>
      </c>
      <c r="C63" s="6" t="s">
        <v>69</v>
      </c>
      <c r="D63" s="7">
        <v>780000</v>
      </c>
      <c r="E63" s="5" t="s">
        <v>33</v>
      </c>
      <c r="F63" s="5" t="s">
        <v>38</v>
      </c>
      <c r="G63" s="7">
        <v>780000</v>
      </c>
    </row>
    <row r="64" spans="2:7" x14ac:dyDescent="0.3">
      <c r="B64" s="5">
        <v>28</v>
      </c>
      <c r="C64" s="6" t="s">
        <v>70</v>
      </c>
      <c r="D64" s="7">
        <v>570000</v>
      </c>
      <c r="E64" s="5" t="s">
        <v>39</v>
      </c>
      <c r="F64" s="5" t="s">
        <v>38</v>
      </c>
      <c r="G64" s="7">
        <v>570000</v>
      </c>
    </row>
    <row r="65" spans="2:7" x14ac:dyDescent="0.3">
      <c r="E65" s="15" t="s">
        <v>71</v>
      </c>
      <c r="F65" s="15"/>
      <c r="G65" s="13">
        <f>SUM(G37:G64)</f>
        <v>18056000</v>
      </c>
    </row>
    <row r="67" spans="2:7" x14ac:dyDescent="0.3">
      <c r="B67" s="9" t="s">
        <v>41</v>
      </c>
      <c r="C67" s="10" t="s">
        <v>2</v>
      </c>
      <c r="D67" s="9" t="s">
        <v>36</v>
      </c>
      <c r="E67" s="9" t="s">
        <v>34</v>
      </c>
      <c r="F67" s="9" t="s">
        <v>35</v>
      </c>
      <c r="G67" s="9" t="s">
        <v>37</v>
      </c>
    </row>
    <row r="68" spans="2:7" x14ac:dyDescent="0.3">
      <c r="B68" s="5">
        <v>1</v>
      </c>
      <c r="C68" s="6" t="s">
        <v>72</v>
      </c>
      <c r="D68" s="7">
        <v>950000</v>
      </c>
      <c r="E68" s="5" t="s">
        <v>39</v>
      </c>
      <c r="F68" s="7">
        <v>20000</v>
      </c>
      <c r="G68" s="7">
        <f>D68-F68</f>
        <v>930000</v>
      </c>
    </row>
    <row r="69" spans="2:7" x14ac:dyDescent="0.3">
      <c r="B69" s="5">
        <v>2</v>
      </c>
      <c r="C69" s="6" t="s">
        <v>73</v>
      </c>
      <c r="D69" s="7">
        <v>1520000</v>
      </c>
      <c r="E69" s="5" t="s">
        <v>33</v>
      </c>
      <c r="F69" s="5" t="s">
        <v>38</v>
      </c>
      <c r="G69" s="7">
        <v>1520000</v>
      </c>
    </row>
    <row r="70" spans="2:7" x14ac:dyDescent="0.3">
      <c r="B70" s="5">
        <v>3</v>
      </c>
      <c r="C70" s="6" t="s">
        <v>74</v>
      </c>
      <c r="D70" s="7">
        <v>430000</v>
      </c>
      <c r="E70" s="5" t="s">
        <v>39</v>
      </c>
      <c r="F70" s="5" t="s">
        <v>38</v>
      </c>
      <c r="G70" s="7">
        <v>430000</v>
      </c>
    </row>
    <row r="71" spans="2:7" x14ac:dyDescent="0.3">
      <c r="B71" s="5">
        <v>4</v>
      </c>
      <c r="C71" s="6" t="s">
        <v>75</v>
      </c>
      <c r="D71" s="7">
        <v>690000</v>
      </c>
      <c r="E71" s="5" t="s">
        <v>39</v>
      </c>
      <c r="F71" s="7">
        <v>50000</v>
      </c>
      <c r="G71" s="7">
        <f>D71-F71</f>
        <v>640000</v>
      </c>
    </row>
    <row r="72" spans="2:7" x14ac:dyDescent="0.3">
      <c r="B72" s="5">
        <v>5</v>
      </c>
      <c r="C72" s="6" t="s">
        <v>76</v>
      </c>
      <c r="D72" s="7">
        <v>800000</v>
      </c>
      <c r="E72" s="5" t="s">
        <v>33</v>
      </c>
      <c r="F72" s="5" t="s">
        <v>38</v>
      </c>
      <c r="G72" s="7">
        <v>800000</v>
      </c>
    </row>
    <row r="73" spans="2:7" x14ac:dyDescent="0.3">
      <c r="B73" s="5">
        <v>6</v>
      </c>
      <c r="C73" s="6" t="s">
        <v>77</v>
      </c>
      <c r="D73" s="7">
        <v>420000</v>
      </c>
      <c r="E73" s="5" t="s">
        <v>39</v>
      </c>
      <c r="F73" s="5" t="s">
        <v>38</v>
      </c>
      <c r="G73" s="7">
        <v>420000</v>
      </c>
    </row>
    <row r="74" spans="2:7" x14ac:dyDescent="0.3">
      <c r="B74" s="5">
        <v>7</v>
      </c>
      <c r="C74" s="6" t="s">
        <v>78</v>
      </c>
      <c r="D74" s="7">
        <v>800000</v>
      </c>
      <c r="E74" s="5" t="s">
        <v>39</v>
      </c>
      <c r="F74" s="7">
        <v>88000</v>
      </c>
      <c r="G74" s="7">
        <f>D74-F74</f>
        <v>712000</v>
      </c>
    </row>
    <row r="75" spans="2:7" x14ac:dyDescent="0.3">
      <c r="B75" s="5">
        <v>8</v>
      </c>
      <c r="C75" s="6" t="s">
        <v>79</v>
      </c>
      <c r="D75" s="7">
        <v>1130000</v>
      </c>
      <c r="E75" s="5" t="s">
        <v>33</v>
      </c>
      <c r="F75" s="5" t="s">
        <v>38</v>
      </c>
      <c r="G75" s="7">
        <v>1130000</v>
      </c>
    </row>
    <row r="76" spans="2:7" x14ac:dyDescent="0.3">
      <c r="B76" s="5">
        <v>9</v>
      </c>
      <c r="C76" s="6" t="s">
        <v>80</v>
      </c>
      <c r="D76" s="7">
        <v>1060000</v>
      </c>
      <c r="E76" s="5" t="s">
        <v>33</v>
      </c>
      <c r="F76" s="5" t="s">
        <v>38</v>
      </c>
      <c r="G76" s="7">
        <v>1060000</v>
      </c>
    </row>
    <row r="77" spans="2:7" x14ac:dyDescent="0.3">
      <c r="B77" s="5">
        <v>10</v>
      </c>
      <c r="C77" s="6" t="s">
        <v>81</v>
      </c>
      <c r="D77" s="7">
        <v>510000</v>
      </c>
      <c r="E77" s="5" t="s">
        <v>39</v>
      </c>
      <c r="F77" s="5" t="s">
        <v>38</v>
      </c>
      <c r="G77" s="7">
        <v>510000</v>
      </c>
    </row>
    <row r="78" spans="2:7" x14ac:dyDescent="0.3">
      <c r="B78" s="5">
        <v>11</v>
      </c>
      <c r="C78" s="6" t="s">
        <v>82</v>
      </c>
      <c r="D78" s="7">
        <v>370000</v>
      </c>
      <c r="E78" s="5" t="s">
        <v>39</v>
      </c>
      <c r="F78" s="7">
        <v>35000</v>
      </c>
      <c r="G78" s="7">
        <f>D78-F78</f>
        <v>335000</v>
      </c>
    </row>
    <row r="79" spans="2:7" x14ac:dyDescent="0.3">
      <c r="B79" s="5">
        <v>12</v>
      </c>
      <c r="C79" s="6" t="s">
        <v>83</v>
      </c>
      <c r="D79" s="7">
        <v>510000</v>
      </c>
      <c r="E79" s="5" t="s">
        <v>39</v>
      </c>
      <c r="F79" s="5" t="s">
        <v>38</v>
      </c>
      <c r="G79" s="7">
        <v>510000</v>
      </c>
    </row>
    <row r="80" spans="2:7" x14ac:dyDescent="0.3">
      <c r="B80" s="5">
        <v>13</v>
      </c>
      <c r="C80" s="6" t="s">
        <v>84</v>
      </c>
      <c r="D80" s="7">
        <v>541000</v>
      </c>
      <c r="E80" s="5" t="s">
        <v>39</v>
      </c>
      <c r="F80" s="5" t="s">
        <v>38</v>
      </c>
      <c r="G80" s="7">
        <v>541000</v>
      </c>
    </row>
    <row r="81" spans="2:7" x14ac:dyDescent="0.3">
      <c r="B81" s="5">
        <v>14</v>
      </c>
      <c r="C81" s="6" t="s">
        <v>85</v>
      </c>
      <c r="D81" s="7">
        <v>370000</v>
      </c>
      <c r="E81" s="5" t="s">
        <v>39</v>
      </c>
      <c r="F81" s="5" t="s">
        <v>38</v>
      </c>
      <c r="G81" s="7">
        <v>370000</v>
      </c>
    </row>
    <row r="82" spans="2:7" x14ac:dyDescent="0.3">
      <c r="B82" s="5">
        <v>15</v>
      </c>
      <c r="C82" s="6" t="s">
        <v>86</v>
      </c>
      <c r="D82" s="7">
        <v>715000</v>
      </c>
      <c r="E82" s="5" t="s">
        <v>39</v>
      </c>
      <c r="F82" s="5" t="s">
        <v>38</v>
      </c>
      <c r="G82" s="7">
        <v>715000</v>
      </c>
    </row>
    <row r="83" spans="2:7" x14ac:dyDescent="0.3">
      <c r="B83" s="5">
        <v>16</v>
      </c>
      <c r="C83" s="6" t="s">
        <v>87</v>
      </c>
      <c r="D83" s="7">
        <v>1420000</v>
      </c>
      <c r="E83" s="5" t="s">
        <v>39</v>
      </c>
      <c r="F83" s="7">
        <v>150000</v>
      </c>
      <c r="G83" s="7">
        <f>D83-F83</f>
        <v>1270000</v>
      </c>
    </row>
    <row r="84" spans="2:7" x14ac:dyDescent="0.3">
      <c r="B84" s="5">
        <v>17</v>
      </c>
      <c r="C84" s="6" t="s">
        <v>88</v>
      </c>
      <c r="D84" s="7">
        <v>840000</v>
      </c>
      <c r="E84" s="5" t="s">
        <v>39</v>
      </c>
      <c r="F84" s="7">
        <v>65000</v>
      </c>
      <c r="G84" s="7">
        <f>D84-F84</f>
        <v>775000</v>
      </c>
    </row>
    <row r="85" spans="2:7" x14ac:dyDescent="0.3">
      <c r="B85" s="5">
        <v>18</v>
      </c>
      <c r="C85" s="6" t="s">
        <v>89</v>
      </c>
      <c r="D85" s="7">
        <v>990000</v>
      </c>
      <c r="E85" s="5" t="s">
        <v>39</v>
      </c>
      <c r="F85" s="5" t="s">
        <v>38</v>
      </c>
      <c r="G85" s="7">
        <v>990000</v>
      </c>
    </row>
    <row r="86" spans="2:7" x14ac:dyDescent="0.3">
      <c r="B86" s="5">
        <v>19</v>
      </c>
      <c r="C86" s="6" t="s">
        <v>90</v>
      </c>
      <c r="D86" s="7">
        <v>1710000</v>
      </c>
      <c r="E86" s="5" t="s">
        <v>33</v>
      </c>
      <c r="F86" s="5" t="s">
        <v>38</v>
      </c>
      <c r="G86" s="7">
        <v>1710000</v>
      </c>
    </row>
    <row r="87" spans="2:7" x14ac:dyDescent="0.3">
      <c r="B87" s="5">
        <v>20</v>
      </c>
      <c r="C87" s="6" t="s">
        <v>91</v>
      </c>
      <c r="D87" s="7">
        <v>1720000</v>
      </c>
      <c r="E87" s="5" t="s">
        <v>39</v>
      </c>
      <c r="F87" s="7">
        <v>250000</v>
      </c>
      <c r="G87" s="7">
        <f>D87-F87</f>
        <v>1470000</v>
      </c>
    </row>
    <row r="88" spans="2:7" x14ac:dyDescent="0.3">
      <c r="B88" s="5">
        <v>21</v>
      </c>
      <c r="C88" s="6" t="s">
        <v>92</v>
      </c>
      <c r="D88" s="7">
        <v>1290000</v>
      </c>
      <c r="E88" s="5" t="s">
        <v>39</v>
      </c>
      <c r="F88" s="5" t="s">
        <v>38</v>
      </c>
      <c r="G88" s="7">
        <v>1290000</v>
      </c>
    </row>
    <row r="89" spans="2:7" x14ac:dyDescent="0.3">
      <c r="B89" s="5">
        <v>22</v>
      </c>
      <c r="C89" s="6" t="s">
        <v>93</v>
      </c>
      <c r="D89" s="7">
        <v>1120000</v>
      </c>
      <c r="E89" s="5" t="s">
        <v>39</v>
      </c>
      <c r="F89" s="5" t="s">
        <v>38</v>
      </c>
      <c r="G89" s="7">
        <v>1120000</v>
      </c>
    </row>
    <row r="90" spans="2:7" x14ac:dyDescent="0.3">
      <c r="B90" s="5">
        <v>23</v>
      </c>
      <c r="C90" s="6" t="s">
        <v>94</v>
      </c>
      <c r="D90" s="7">
        <v>1980000</v>
      </c>
      <c r="E90" s="5" t="s">
        <v>33</v>
      </c>
      <c r="F90" s="5" t="s">
        <v>38</v>
      </c>
      <c r="G90" s="7">
        <v>1980000</v>
      </c>
    </row>
    <row r="91" spans="2:7" x14ac:dyDescent="0.3">
      <c r="B91" s="5">
        <v>24</v>
      </c>
      <c r="C91" s="6" t="s">
        <v>95</v>
      </c>
      <c r="D91" s="7">
        <v>1350000</v>
      </c>
      <c r="E91" s="5" t="s">
        <v>39</v>
      </c>
      <c r="F91" s="5" t="s">
        <v>38</v>
      </c>
      <c r="G91" s="7">
        <v>1350000</v>
      </c>
    </row>
    <row r="92" spans="2:7" x14ac:dyDescent="0.3">
      <c r="B92" s="5">
        <v>25</v>
      </c>
      <c r="C92" s="6" t="s">
        <v>96</v>
      </c>
      <c r="D92" s="7">
        <v>1770000</v>
      </c>
      <c r="E92" s="5" t="s">
        <v>39</v>
      </c>
      <c r="F92" s="5" t="s">
        <v>38</v>
      </c>
      <c r="G92" s="7">
        <v>1770000</v>
      </c>
    </row>
    <row r="93" spans="2:7" x14ac:dyDescent="0.3">
      <c r="B93" s="5">
        <v>26</v>
      </c>
      <c r="C93" s="6" t="s">
        <v>97</v>
      </c>
      <c r="D93" s="7">
        <v>1320000</v>
      </c>
      <c r="E93" s="5" t="s">
        <v>33</v>
      </c>
      <c r="F93" s="5" t="s">
        <v>38</v>
      </c>
      <c r="G93" s="7">
        <v>1320000</v>
      </c>
    </row>
    <row r="94" spans="2:7" x14ac:dyDescent="0.3">
      <c r="B94" s="5">
        <v>27</v>
      </c>
      <c r="C94" s="6" t="s">
        <v>98</v>
      </c>
      <c r="D94" s="7">
        <v>1750000</v>
      </c>
      <c r="E94" s="5" t="s">
        <v>33</v>
      </c>
      <c r="F94" s="5" t="s">
        <v>38</v>
      </c>
      <c r="G94" s="7">
        <v>1750000</v>
      </c>
    </row>
    <row r="95" spans="2:7" x14ac:dyDescent="0.3">
      <c r="B95" s="5">
        <v>28</v>
      </c>
      <c r="C95" s="6" t="s">
        <v>99</v>
      </c>
      <c r="D95" s="7">
        <v>2250000</v>
      </c>
      <c r="E95" s="5" t="s">
        <v>33</v>
      </c>
      <c r="F95" s="5" t="s">
        <v>38</v>
      </c>
      <c r="G95" s="7">
        <v>2250000</v>
      </c>
    </row>
    <row r="96" spans="2:7" x14ac:dyDescent="0.3">
      <c r="B96" s="5">
        <v>29</v>
      </c>
      <c r="C96" s="6" t="s">
        <v>100</v>
      </c>
      <c r="D96" s="7">
        <v>3150000</v>
      </c>
      <c r="E96" s="5" t="s">
        <v>33</v>
      </c>
      <c r="F96" s="5" t="s">
        <v>38</v>
      </c>
      <c r="G96" s="7">
        <v>3150000</v>
      </c>
    </row>
    <row r="97" spans="2:7" x14ac:dyDescent="0.3">
      <c r="B97" s="5">
        <v>30</v>
      </c>
      <c r="C97" s="6" t="s">
        <v>101</v>
      </c>
      <c r="D97" s="7">
        <v>2380000</v>
      </c>
      <c r="E97" s="5" t="s">
        <v>33</v>
      </c>
      <c r="F97" s="7">
        <v>65000</v>
      </c>
      <c r="G97" s="7">
        <f>D97-F97</f>
        <v>2315000</v>
      </c>
    </row>
    <row r="98" spans="2:7" x14ac:dyDescent="0.3">
      <c r="E98" s="15" t="s">
        <v>71</v>
      </c>
      <c r="F98" s="15"/>
      <c r="G98" s="12"/>
    </row>
  </sheetData>
  <mergeCells count="3">
    <mergeCell ref="E34:F34"/>
    <mergeCell ref="E65:F65"/>
    <mergeCell ref="E98:F9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ilma qurana</dc:creator>
  <cp:lastModifiedBy>ilma qurana</cp:lastModifiedBy>
  <dcterms:created xsi:type="dcterms:W3CDTF">2025-12-22T15:22:08Z</dcterms:created>
  <dcterms:modified xsi:type="dcterms:W3CDTF">2026-04-21T14:33:49Z</dcterms:modified>
</cp:coreProperties>
</file>